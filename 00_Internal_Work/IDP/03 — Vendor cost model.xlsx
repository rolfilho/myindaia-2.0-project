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&amp; Note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 per page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i val="1"/>
      <color rgb="00595959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4" borderId="1" pivotButton="0" quotePrefix="0" xfId="0"/>
    <xf numFmtId="164" fontId="0" fillId="4" borderId="1" pivotButton="0" quotePrefix="0" xfId="0"/>
    <xf numFmtId="0" fontId="4" fillId="2" borderId="1" applyAlignment="1" pivotButton="0" quotePrefix="0" xfId="0">
      <alignment horizontal="center" wrapText="1"/>
    </xf>
    <xf numFmtId="3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IDP Vendor Cost Model — LlamaExtract · Reducto · Extend</t>
        </is>
      </c>
    </row>
    <row r="2">
      <c r="B2" t="inlineStr"/>
    </row>
    <row r="3">
      <c r="B3" t="inlineStr">
        <is>
          <t>Purpose: reproduce, as live formulas, the cost estimates in the vendor-research doc for DEC-01 / D-a1.</t>
        </is>
      </c>
    </row>
    <row r="4">
      <c r="B4" t="inlineStr">
        <is>
          <t>Companion to: 00_Internal_Work/IDP/2026-07-21 Vendor research — LlamaExtract, Reducto, Extend.md</t>
        </is>
      </c>
    </row>
    <row r="5">
      <c r="B5" t="inlineStr"/>
    </row>
    <row r="6">
      <c r="B6" s="2" t="inlineStr">
        <is>
          <t>HOW TO READ THIS WORKBOOK</t>
        </is>
      </c>
    </row>
    <row r="7">
      <c r="B7" t="inlineStr">
        <is>
          <t xml:space="preserve">  • Yellow cells = editable assumptions (rates, volumes, modes). Change these.</t>
        </is>
      </c>
    </row>
    <row r="8">
      <c r="B8" t="inlineStr">
        <is>
          <t xml:space="preserve">  • Green cells  = formulas / derived values. Do not hand-edit; they recompute.</t>
        </is>
      </c>
    </row>
    <row r="9">
      <c r="B9" t="inlineStr">
        <is>
          <t xml:space="preserve">  • Sheets: Assumptions (inputs) → Cost per page (by mode) → Scenarios (totals).</t>
        </is>
      </c>
    </row>
    <row r="10">
      <c r="B10" t="inlineStr"/>
    </row>
    <row r="11">
      <c r="B11" s="2" t="inlineStr">
        <is>
          <t>THE CORE FORMULA</t>
        </is>
      </c>
    </row>
    <row r="12">
      <c r="B12" t="inlineStr">
        <is>
          <t xml:space="preserve">  $ per page  =  ( Σ credits/page for each operation in the pipeline )  ×  ( $ per credit at your plan tier )</t>
        </is>
      </c>
    </row>
    <row r="13">
      <c r="B13" t="inlineStr">
        <is>
          <t xml:space="preserve">  Total $     =  $ per page  ×  total pages</t>
        </is>
      </c>
    </row>
    <row r="14">
      <c r="B14" t="inlineStr"/>
    </row>
    <row r="15">
      <c r="B15" t="inlineStr">
        <is>
          <t>WHAT A 'PIPELINE' IS (why extract is never just 'extract')</t>
        </is>
      </c>
    </row>
    <row r="16">
      <c r="B16" t="inlineStr">
        <is>
          <t xml:space="preserve">  A schema extraction is a chain: Parse (read the doc) → Extract (fill the schema) → optionally</t>
        </is>
      </c>
    </row>
    <row r="17">
      <c r="B17" t="inlineStr">
        <is>
          <t xml:space="preserve">  Classify (route doc type), Split (multi-doc files), and HITL/Review. All three vendors charge Parse</t>
        </is>
      </c>
    </row>
    <row r="18">
      <c r="B18" t="inlineStr">
        <is>
          <t xml:space="preserve">  under the hood unless the file is already cached. Each step adds credits; mode picks the rate.</t>
        </is>
      </c>
    </row>
    <row r="19">
      <c r="B19" t="inlineStr"/>
    </row>
    <row r="20">
      <c r="B20" t="inlineStr">
        <is>
          <t>KEY ASSUMPTIONS (all editable on the Assumptions sheet)</t>
        </is>
      </c>
    </row>
    <row r="21">
      <c r="B21" t="inlineStr">
        <is>
          <t xml:space="preserve">  • $/credit — Reducto $0.015 (Standard, after 15k free); LlamaCloud $0.00125 (1,000 cr = $1.25, NA/EU same);</t>
        </is>
      </c>
    </row>
    <row r="22">
      <c r="B22" t="inlineStr">
        <is>
          <t xml:space="preserve">    Extend $0.0125 Pay-As-You-Go, ~$0.010 on Scale ($500/mo).</t>
        </is>
      </c>
    </row>
    <row r="23">
      <c r="B23" t="inlineStr">
        <is>
          <t xml:space="preserve">  • Parse is INCLUDED in every extraction pipeline (not cached). Re-running extraction on an</t>
        </is>
      </c>
    </row>
    <row r="24">
      <c r="B24" t="inlineStr">
        <is>
          <t xml:space="preserve">    already-parsed file is extract-only (cheaper) at all three — model a cached re-run by zeroing the parse cell.</t>
        </is>
      </c>
    </row>
    <row r="25">
      <c r="B25" t="inlineStr">
        <is>
          <t xml:space="preserve">  • NO volume discounts applied — every tier above self-serve is 'contact sales'. These are list rates, i.e. an upper bound.</t>
        </is>
      </c>
    </row>
    <row r="26">
      <c r="B26" t="inlineStr">
        <is>
          <t xml:space="preserve">  • Free tiers ignored in totals (Reducto 15k free credits, LlamaCloud 10k/mo, Extend 10k) — a ~50-doc PoC lands ~$0 for all three.</t>
        </is>
      </c>
    </row>
    <row r="27">
      <c r="B27" t="inlineStr"/>
    </row>
    <row r="28">
      <c r="B28" s="2" t="inlineStr">
        <is>
          <t>MODE / ADD-ON MULTIPLIERS</t>
        </is>
      </c>
    </row>
    <row r="29">
      <c r="B29" t="inlineStr">
        <is>
          <t xml:space="preserve">  • Reducto: optimize_for_latency ×2; batch queue −20% (×0.8); calling Extract on a URL double-charges Parse+Extract.</t>
        </is>
      </c>
    </row>
    <row r="30">
      <c r="B30" t="inlineStr">
        <is>
          <t xml:space="preserve">  • Reducto Deep Extract: 4 cr/page + 0.1 cr/field, minimum 30 cr/DOC — the floor dominates short documents (see Scenarios).</t>
        </is>
      </c>
    </row>
    <row r="31">
      <c r="B31" t="inlineStr">
        <is>
          <t xml:space="preserve">  • LlamaCloud Extract v2: total = extract tier + parse tier. Confidence/citations add 0 credits but slow processing.</t>
        </is>
      </c>
    </row>
    <row r="32">
      <c r="B32" t="inlineStr">
        <is>
          <t xml:space="preserve">  • Extend: Review Agent (HITL) +1 cr/page; Agentic OCR correction +1 cr/page on triggered pages; priority parsing ×2; light mode ~4× cheaper.</t>
        </is>
      </c>
    </row>
    <row r="33">
      <c r="B33" t="inlineStr"/>
    </row>
    <row r="34">
      <c r="B34" s="2" t="inlineStr">
        <is>
          <t>HITL IS WHERE REAL COST DIVERGES</t>
        </is>
      </c>
    </row>
    <row r="35">
      <c r="B35" t="inlineStr">
        <is>
          <t xml:space="preserve">  Extend's Review Agent is a metered line item (+1 cr/page). With Reducto or LlamaCloud the review workflow is</t>
        </is>
      </c>
    </row>
    <row r="36">
      <c r="B36" t="inlineStr">
        <is>
          <t xml:space="preserve">  build-labor you add (not a per-page charge) — cheaper per page, more engineering. The Scenarios sheet models</t>
        </is>
      </c>
    </row>
    <row r="37">
      <c r="B37" t="inlineStr">
        <is>
          <t xml:space="preserve">  Extend's Review Agent explicitly; the 'build-it-yourself' cost for the other two is not a credit line and is out of scope here.</t>
        </is>
      </c>
    </row>
    <row r="38">
      <c r="B38" t="inlineStr"/>
    </row>
    <row r="39">
      <c r="B39" s="3" t="inlineStr">
        <is>
          <t>Source: each rate is from the vendor's public pricing/credit docs, fetched 2026-07-21. Vendor-reported, list rates.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0" customWidth="1" min="3" max="3"/>
  </cols>
  <sheetData>
    <row r="1">
      <c r="A1" s="1" t="inlineStr">
        <is>
          <t>Assumptions &amp; Rate Cards</t>
        </is>
      </c>
    </row>
    <row r="2">
      <c r="A2" s="3" t="inlineStr">
        <is>
          <t>Yellow = editable input. Credits per page unless noted. List rates, self-serve tiers, pre-discount.</t>
        </is>
      </c>
    </row>
    <row r="4">
      <c r="A4" s="4" t="inlineStr">
        <is>
          <t>PRICE PER CREDIT (USD)</t>
        </is>
      </c>
      <c r="B4" s="5" t="n"/>
      <c r="C4" s="5" t="n"/>
    </row>
    <row r="5">
      <c r="A5" t="inlineStr">
        <is>
          <t>Reducto (Standard, after 15k free)</t>
        </is>
      </c>
      <c r="B5" s="6" t="n">
        <v>0.015</v>
      </c>
      <c r="C5" s="3" t="inlineStr">
        <is>
          <t>reducto.ai/pricing</t>
        </is>
      </c>
    </row>
    <row r="6">
      <c r="A6" t="inlineStr">
        <is>
          <t>LlamaCloud (NA/EU, 1,000 cr = $1.25)</t>
        </is>
      </c>
      <c r="B6" s="6" t="n">
        <v>0.00125</v>
      </c>
      <c r="C6" s="3" t="inlineStr">
        <is>
          <t>developers.llamaindex.ai/.../pricing</t>
        </is>
      </c>
    </row>
    <row r="7">
      <c r="A7" t="inlineStr">
        <is>
          <t>Extend — Pay-As-You-Go</t>
        </is>
      </c>
      <c r="B7" s="6" t="n">
        <v>0.0125</v>
      </c>
      <c r="C7" s="3" t="inlineStr">
        <is>
          <t>derived: Parse 2cr = $0.025</t>
        </is>
      </c>
    </row>
    <row r="8">
      <c r="A8" t="inlineStr">
        <is>
          <t>Extend — Scale ($500/mo, 50k cr incl.)</t>
        </is>
      </c>
      <c r="B8" s="6" t="n">
        <v>0.01</v>
      </c>
      <c r="C8" s="3" t="inlineStr">
        <is>
          <t>derived: Parse 2cr = $0.02</t>
        </is>
      </c>
    </row>
    <row r="10">
      <c r="A10" s="4" t="inlineStr">
        <is>
          <t>SCENARIO VOLUMES</t>
        </is>
      </c>
      <c r="B10" s="5" t="n"/>
      <c r="C10" s="5" t="n"/>
    </row>
    <row r="11">
      <c r="A11" t="inlineStr">
        <is>
          <t>PoC — pages per document</t>
        </is>
      </c>
      <c r="B11" s="7" t="n">
        <v>3</v>
      </c>
      <c r="C11" s="3" t="inlineStr">
        <is>
          <t>e.g. a bill of lading</t>
        </is>
      </c>
    </row>
    <row r="12">
      <c r="A12" t="inlineStr">
        <is>
          <t>PoC — number of documents</t>
        </is>
      </c>
      <c r="B12" s="7" t="n">
        <v>50</v>
      </c>
      <c r="C12" s="3" t="inlineStr">
        <is>
          <t>the ≥50-doc batch</t>
        </is>
      </c>
    </row>
    <row r="13">
      <c r="A13" t="inlineStr">
        <is>
          <t>Production — pages per month</t>
        </is>
      </c>
      <c r="B13" s="7" t="n">
        <v>10000</v>
      </c>
      <c r="C13" s="3" t="inlineStr">
        <is>
          <t>illustrative volume</t>
        </is>
      </c>
    </row>
    <row r="14">
      <c r="A14" t="inlineStr">
        <is>
          <t>Deep Extract — fields per document</t>
        </is>
      </c>
      <c r="B14" s="7" t="n">
        <v>12</v>
      </c>
      <c r="C14" s="3" t="inlineStr">
        <is>
          <t>for Reducto Deep Extract calc</t>
        </is>
      </c>
    </row>
    <row r="16">
      <c r="A16" s="4" t="inlineStr">
        <is>
          <t>REDUCTO — credits/page</t>
        </is>
      </c>
      <c r="B16" s="5" t="n"/>
      <c r="C16" s="5" t="n"/>
    </row>
    <row r="17">
      <c r="A17" t="inlineStr">
        <is>
          <t>Parse — standard</t>
        </is>
      </c>
      <c r="B17" s="8" t="n">
        <v>1</v>
      </c>
    </row>
    <row r="18">
      <c r="A18" t="inlineStr">
        <is>
          <t>Parse — complex page</t>
        </is>
      </c>
      <c r="B18" s="8" t="n">
        <v>2</v>
      </c>
      <c r="C18" s="3" t="inlineStr">
        <is>
          <t>tables / merged cells / KV regions</t>
        </is>
      </c>
    </row>
    <row r="19">
      <c r="A19" t="inlineStr">
        <is>
          <t>Parse — agentic (mid of 2–4)</t>
        </is>
      </c>
      <c r="B19" s="8" t="n">
        <v>3</v>
      </c>
    </row>
    <row r="20">
      <c r="A20" t="inlineStr">
        <is>
          <t>Extract — standard</t>
        </is>
      </c>
      <c r="B20" s="8" t="n">
        <v>2</v>
      </c>
    </row>
    <row r="21">
      <c r="A21" t="inlineStr">
        <is>
          <t>Deep Extract — per page</t>
        </is>
      </c>
      <c r="B21" s="8" t="n">
        <v>4</v>
      </c>
      <c r="C21" s="3" t="inlineStr">
        <is>
          <t>agentic mode</t>
        </is>
      </c>
    </row>
    <row r="22">
      <c r="A22" t="inlineStr">
        <is>
          <t>Deep Extract — per field</t>
        </is>
      </c>
      <c r="B22" s="8" t="n">
        <v>0.1</v>
      </c>
    </row>
    <row r="23">
      <c r="A23" t="inlineStr">
        <is>
          <t>Deep Extract — minimum per DOC</t>
        </is>
      </c>
      <c r="B23" s="8" t="n">
        <v>30</v>
      </c>
      <c r="C23" s="3" t="inlineStr">
        <is>
          <t>floor dominates short docs</t>
        </is>
      </c>
    </row>
    <row r="24">
      <c r="A24" t="inlineStr">
        <is>
          <t>Multiplier — optimize_for_latency</t>
        </is>
      </c>
      <c r="B24" s="8" t="n">
        <v>2</v>
      </c>
    </row>
    <row r="25">
      <c r="A25" t="inlineStr">
        <is>
          <t>Multiplier — batch queue (−20%)</t>
        </is>
      </c>
      <c r="B25" s="8" t="n">
        <v>0.8</v>
      </c>
    </row>
    <row r="27">
      <c r="A27" s="4" t="inlineStr">
        <is>
          <t>LLAMACLOUD — credits/page</t>
        </is>
      </c>
      <c r="B27" s="5" t="n"/>
      <c r="C27" s="5" t="n"/>
    </row>
    <row r="28">
      <c r="A28" t="inlineStr">
        <is>
          <t>Extract tier — Cost-effective</t>
        </is>
      </c>
      <c r="B28" s="8" t="n">
        <v>5</v>
      </c>
    </row>
    <row r="29">
      <c r="A29" t="inlineStr">
        <is>
          <t>Extract tier — Agentic</t>
        </is>
      </c>
      <c r="B29" s="8" t="n">
        <v>15</v>
      </c>
    </row>
    <row r="30">
      <c r="A30" t="inlineStr">
        <is>
          <t>Parse tier — Fast</t>
        </is>
      </c>
      <c r="B30" s="8" t="n">
        <v>1</v>
      </c>
    </row>
    <row r="31">
      <c r="A31" t="inlineStr">
        <is>
          <t>Parse tier — Cost-effective</t>
        </is>
      </c>
      <c r="B31" s="8" t="n">
        <v>3</v>
      </c>
    </row>
    <row r="32">
      <c r="A32" t="inlineStr">
        <is>
          <t>Parse tier — Agentic</t>
        </is>
      </c>
      <c r="B32" s="8" t="n">
        <v>10</v>
      </c>
    </row>
    <row r="33">
      <c r="A33" t="inlineStr">
        <is>
          <t>Parse tier — Agentic Plus</t>
        </is>
      </c>
      <c r="B33" s="8" t="n">
        <v>45</v>
      </c>
    </row>
    <row r="34">
      <c r="A34" t="inlineStr">
        <is>
          <t>Classify — fast</t>
        </is>
      </c>
      <c r="B34" s="8" t="n">
        <v>1</v>
      </c>
    </row>
    <row r="35">
      <c r="A35" t="inlineStr">
        <is>
          <t>Split — default</t>
        </is>
      </c>
      <c r="B35" s="8" t="n">
        <v>4</v>
      </c>
    </row>
    <row r="37">
      <c r="A37" s="4" t="inlineStr">
        <is>
          <t>EXTEND — credits/page</t>
        </is>
      </c>
      <c r="B37" s="5" t="n"/>
      <c r="C37" s="5" t="n"/>
    </row>
    <row r="38">
      <c r="A38" t="inlineStr">
        <is>
          <t>Parse — performance</t>
        </is>
      </c>
      <c r="B38" s="8" t="n">
        <v>2</v>
      </c>
    </row>
    <row r="39">
      <c r="A39" t="inlineStr">
        <is>
          <t>Parse — light (~4× cheaper)</t>
        </is>
      </c>
      <c r="B39" s="8" t="n">
        <v>0.5</v>
      </c>
    </row>
    <row r="40">
      <c r="A40" t="inlineStr">
        <is>
          <t>Extract — performance</t>
        </is>
      </c>
      <c r="B40" s="8" t="n">
        <v>3</v>
      </c>
    </row>
    <row r="41">
      <c r="A41" t="inlineStr">
        <is>
          <t>Extract — light</t>
        </is>
      </c>
      <c r="B41" s="8" t="n">
        <v>0.75</v>
      </c>
    </row>
    <row r="42">
      <c r="A42" t="inlineStr">
        <is>
          <t>Classify</t>
        </is>
      </c>
      <c r="B42" s="8" t="n">
        <v>1</v>
      </c>
    </row>
    <row r="43">
      <c r="A43" t="inlineStr">
        <is>
          <t>Split</t>
        </is>
      </c>
      <c r="B43" s="8" t="n">
        <v>2</v>
      </c>
    </row>
    <row r="44">
      <c r="A44" t="inlineStr">
        <is>
          <t>Review Agent (HITL) — add/page</t>
        </is>
      </c>
      <c r="B44" s="8" t="n">
        <v>1</v>
      </c>
    </row>
    <row r="45">
      <c r="A45" t="inlineStr">
        <is>
          <t>Agentic OCR correction — add/page</t>
        </is>
      </c>
      <c r="B45" s="8" t="n">
        <v>1</v>
      </c>
    </row>
    <row r="46">
      <c r="A46" t="inlineStr">
        <is>
          <t>Multiplier — priority parsing</t>
        </is>
      </c>
      <c r="B46" s="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Cost per page — by mode</t>
        </is>
      </c>
    </row>
    <row r="2">
      <c r="A2" s="3" t="inlineStr">
        <is>
          <t>Credits/page and $/page are formulas referencing the Assumptions sheet.</t>
        </is>
      </c>
    </row>
    <row r="4">
      <c r="A4" s="9" t="inlineStr">
        <is>
          <t>Vendor</t>
        </is>
      </c>
      <c r="B4" s="9" t="inlineStr">
        <is>
          <t>Mode / pipeline</t>
        </is>
      </c>
      <c r="C4" s="9" t="inlineStr">
        <is>
          <t>Credits/page</t>
        </is>
      </c>
      <c r="D4" s="9" t="inlineStr">
        <is>
          <t>$ per credit</t>
        </is>
      </c>
      <c r="E4" s="9" t="inlineStr">
        <is>
          <t>$ per page</t>
        </is>
      </c>
    </row>
    <row r="5">
      <c r="A5" s="10" t="inlineStr">
        <is>
          <t>LlamaCloud</t>
        </is>
      </c>
      <c r="B5" s="10" t="inlineStr">
        <is>
          <t>Cost-effective extract + Fast parse (cheapest)</t>
        </is>
      </c>
      <c r="C5" s="11">
        <f>Assumptions!B28+Assumptions!B30</f>
        <v/>
      </c>
      <c r="D5" s="12">
        <f>Assumptions!B6</f>
        <v/>
      </c>
      <c r="E5" s="12">
        <f>C5*D5</f>
        <v/>
      </c>
    </row>
    <row r="6">
      <c r="A6" s="10" t="inlineStr">
        <is>
          <t>LlamaCloud</t>
        </is>
      </c>
      <c r="B6" s="10" t="inlineStr">
        <is>
          <t>Cost-effective extract + Cost-effective parse</t>
        </is>
      </c>
      <c r="C6" s="11">
        <f>Assumptions!B28+Assumptions!B31</f>
        <v/>
      </c>
      <c r="D6" s="12">
        <f>Assumptions!B6</f>
        <v/>
      </c>
      <c r="E6" s="12">
        <f>C6*D6</f>
        <v/>
      </c>
    </row>
    <row r="7">
      <c r="A7" s="10" t="inlineStr">
        <is>
          <t>LlamaCloud</t>
        </is>
      </c>
      <c r="B7" s="10" t="inlineStr">
        <is>
          <t>Agentic extract + Agentic parse (mid/quality)</t>
        </is>
      </c>
      <c r="C7" s="11">
        <f>Assumptions!B29+Assumptions!B32</f>
        <v/>
      </c>
      <c r="D7" s="12">
        <f>Assumptions!B6</f>
        <v/>
      </c>
      <c r="E7" s="12">
        <f>C7*D7</f>
        <v/>
      </c>
    </row>
    <row r="8">
      <c r="A8" s="10" t="inlineStr">
        <is>
          <t>LlamaCloud</t>
        </is>
      </c>
      <c r="B8" s="10" t="inlineStr">
        <is>
          <t>Agentic extract + Agentic Plus parse (max)</t>
        </is>
      </c>
      <c r="C8" s="11">
        <f>Assumptions!B29+Assumptions!B33</f>
        <v/>
      </c>
      <c r="D8" s="12">
        <f>Assumptions!B6</f>
        <v/>
      </c>
      <c r="E8" s="12">
        <f>C8*D8</f>
        <v/>
      </c>
    </row>
    <row r="9">
      <c r="A9" s="10" t="inlineStr">
        <is>
          <t>LlamaCloud</t>
        </is>
      </c>
      <c r="B9" s="10" t="inlineStr">
        <is>
          <t>Extract-only (cached re-run, cost-effective)</t>
        </is>
      </c>
      <c r="C9" s="11">
        <f>Assumptions!B28</f>
        <v/>
      </c>
      <c r="D9" s="12">
        <f>Assumptions!B6</f>
        <v/>
      </c>
      <c r="E9" s="12">
        <f>C9*D9</f>
        <v/>
      </c>
    </row>
    <row r="10">
      <c r="A10" s="10" t="inlineStr">
        <is>
          <t>Reducto</t>
        </is>
      </c>
      <c r="B10" s="10" t="inlineStr">
        <is>
          <t>Standard parse + standard extract (cheapest)</t>
        </is>
      </c>
      <c r="C10" s="11">
        <f>Assumptions!B17+Assumptions!B20</f>
        <v/>
      </c>
      <c r="D10" s="12">
        <f>Assumptions!B5</f>
        <v/>
      </c>
      <c r="E10" s="12">
        <f>C10*D10</f>
        <v/>
      </c>
    </row>
    <row r="11">
      <c r="A11" s="10" t="inlineStr">
        <is>
          <t>Reducto</t>
        </is>
      </c>
      <c r="B11" s="10" t="inlineStr">
        <is>
          <t>Complex-page parse + extract</t>
        </is>
      </c>
      <c r="C11" s="11">
        <f>Assumptions!B18+Assumptions!B20</f>
        <v/>
      </c>
      <c r="D11" s="12">
        <f>Assumptions!B5</f>
        <v/>
      </c>
      <c r="E11" s="12">
        <f>C11*D11</f>
        <v/>
      </c>
    </row>
    <row r="12">
      <c r="A12" s="10" t="inlineStr">
        <is>
          <t>Reducto</t>
        </is>
      </c>
      <c r="B12" s="10" t="inlineStr">
        <is>
          <t>Agentic parse + extract</t>
        </is>
      </c>
      <c r="C12" s="11">
        <f>Assumptions!B19+Assumptions!B20</f>
        <v/>
      </c>
      <c r="D12" s="12">
        <f>Assumptions!B5</f>
        <v/>
      </c>
      <c r="E12" s="12">
        <f>C12*D12</f>
        <v/>
      </c>
    </row>
    <row r="13">
      <c r="A13" s="10" t="inlineStr">
        <is>
          <t>Reducto</t>
        </is>
      </c>
      <c r="B13" s="10" t="inlineStr">
        <is>
          <t>Extract-only on cached jobid:// (no re-parse)</t>
        </is>
      </c>
      <c r="C13" s="11">
        <f>Assumptions!B20</f>
        <v/>
      </c>
      <c r="D13" s="12">
        <f>Assumptions!B5</f>
        <v/>
      </c>
      <c r="E13" s="12">
        <f>C13*D13</f>
        <v/>
      </c>
    </row>
    <row r="14">
      <c r="A14" s="10" t="inlineStr">
        <is>
          <t>Extend</t>
        </is>
      </c>
      <c r="B14" s="10" t="inlineStr">
        <is>
          <t>Parse + Extract (performance, PAYG)</t>
        </is>
      </c>
      <c r="C14" s="11">
        <f>Assumptions!B38+Assumptions!B40</f>
        <v/>
      </c>
      <c r="D14" s="12">
        <f>Assumptions!B7</f>
        <v/>
      </c>
      <c r="E14" s="12">
        <f>C14*D14</f>
        <v/>
      </c>
    </row>
    <row r="15">
      <c r="A15" s="10" t="inlineStr">
        <is>
          <t>Extend</t>
        </is>
      </c>
      <c r="B15" s="10" t="inlineStr">
        <is>
          <t>Parse + Extract (performance, Scale)</t>
        </is>
      </c>
      <c r="C15" s="11">
        <f>Assumptions!B38+Assumptions!B40</f>
        <v/>
      </c>
      <c r="D15" s="12">
        <f>Assumptions!B8</f>
        <v/>
      </c>
      <c r="E15" s="12">
        <f>C15*D15</f>
        <v/>
      </c>
    </row>
    <row r="16">
      <c r="A16" s="10" t="inlineStr">
        <is>
          <t>Extend</t>
        </is>
      </c>
      <c r="B16" s="10" t="inlineStr">
        <is>
          <t>Light mode (parse + extract, PAYG)</t>
        </is>
      </c>
      <c r="C16" s="11">
        <f>Assumptions!B39+Assumptions!B41</f>
        <v/>
      </c>
      <c r="D16" s="12">
        <f>Assumptions!B7</f>
        <v/>
      </c>
      <c r="E16" s="12">
        <f>C16*D16</f>
        <v/>
      </c>
    </row>
    <row r="17">
      <c r="A17" s="10" t="inlineStr">
        <is>
          <t>Extend</t>
        </is>
      </c>
      <c r="B17" s="10" t="inlineStr">
        <is>
          <t>Perf + Review Agent HITL (PAYG)</t>
        </is>
      </c>
      <c r="C17" s="11">
        <f>Assumptions!B38+Assumptions!B40+Assumptions!B44</f>
        <v/>
      </c>
      <c r="D17" s="12">
        <f>Assumptions!B7</f>
        <v/>
      </c>
      <c r="E17" s="12">
        <f>C17*D17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3" customWidth="1" min="4" max="4"/>
    <col width="13" customWidth="1" min="5" max="5"/>
    <col width="14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Scenarios — total cost</t>
        </is>
      </c>
    </row>
    <row r="2">
      <c r="A2" s="3" t="inlineStr">
        <is>
          <t>Total pages, base/add-on credits, $/page and Total $ are formulas. Change modes on the Assumptions sheet.</t>
        </is>
      </c>
    </row>
    <row r="4">
      <c r="A4" s="13" t="inlineStr">
        <is>
          <t>Scenario</t>
        </is>
      </c>
      <c r="B4" s="13" t="inlineStr">
        <is>
          <t>Vendor / tier</t>
        </is>
      </c>
      <c r="C4" s="13" t="inlineStr">
        <is>
          <t>Mode / pipeline</t>
        </is>
      </c>
      <c r="D4" s="13" t="inlineStr">
        <is>
          <t>$ per credit</t>
        </is>
      </c>
      <c r="E4" s="13" t="inlineStr">
        <is>
          <t>Total pages</t>
        </is>
      </c>
      <c r="F4" s="13" t="inlineStr">
        <is>
          <t>Base cr/page</t>
        </is>
      </c>
      <c r="G4" s="13" t="inlineStr">
        <is>
          <t>Add-on cr/page</t>
        </is>
      </c>
      <c r="H4" s="13" t="inlineStr">
        <is>
          <t>$ per page</t>
        </is>
      </c>
      <c r="I4" s="13" t="inlineStr">
        <is>
          <t>Total $</t>
        </is>
      </c>
    </row>
    <row r="5">
      <c r="A5" s="10" t="inlineStr">
        <is>
          <t>PoC · LlamaCloud · cheapest</t>
        </is>
      </c>
      <c r="B5" s="10" t="inlineStr">
        <is>
          <t>LlamaCloud</t>
        </is>
      </c>
      <c r="C5" s="10" t="inlineStr">
        <is>
          <t>Cost-eff extract + Fast parse</t>
        </is>
      </c>
      <c r="D5" s="12">
        <f>Assumptions!B6</f>
        <v/>
      </c>
      <c r="E5" s="14">
        <f>Assumptions!B11*Assumptions!B12</f>
        <v/>
      </c>
      <c r="F5" s="11">
        <f>Assumptions!B28+Assumptions!B30</f>
        <v/>
      </c>
      <c r="G5" s="11" t="inlineStr">
        <is>
          <t>0</t>
        </is>
      </c>
      <c r="H5" s="12">
        <f>(F5+G5)*D5</f>
        <v/>
      </c>
      <c r="I5" s="15">
        <f>H5*E5</f>
        <v/>
      </c>
    </row>
    <row r="6">
      <c r="A6" s="10" t="inlineStr">
        <is>
          <t>PoC · Reducto · standard</t>
        </is>
      </c>
      <c r="B6" s="10" t="inlineStr">
        <is>
          <t>Reducto Standard</t>
        </is>
      </c>
      <c r="C6" s="10" t="inlineStr">
        <is>
          <t>Std parse + std extract</t>
        </is>
      </c>
      <c r="D6" s="12">
        <f>Assumptions!B5</f>
        <v/>
      </c>
      <c r="E6" s="14">
        <f>Assumptions!B11*Assumptions!B12</f>
        <v/>
      </c>
      <c r="F6" s="11">
        <f>Assumptions!B17+Assumptions!B20</f>
        <v/>
      </c>
      <c r="G6" s="11" t="inlineStr">
        <is>
          <t>0</t>
        </is>
      </c>
      <c r="H6" s="12">
        <f>(F6+G6)*D6</f>
        <v/>
      </c>
      <c r="I6" s="15">
        <f>H6*E6</f>
        <v/>
      </c>
    </row>
    <row r="7">
      <c r="A7" s="10" t="inlineStr">
        <is>
          <t>PoC · Extend · performance</t>
        </is>
      </c>
      <c r="B7" s="10" t="inlineStr">
        <is>
          <t>Extend PAYG</t>
        </is>
      </c>
      <c r="C7" s="10" t="inlineStr">
        <is>
          <t>Parse + Extract (perf)</t>
        </is>
      </c>
      <c r="D7" s="12">
        <f>Assumptions!B7</f>
        <v/>
      </c>
      <c r="E7" s="14">
        <f>Assumptions!B11*Assumptions!B12</f>
        <v/>
      </c>
      <c r="F7" s="11">
        <f>Assumptions!B38+Assumptions!B40</f>
        <v/>
      </c>
      <c r="G7" s="11" t="inlineStr">
        <is>
          <t>0</t>
        </is>
      </c>
      <c r="H7" s="12">
        <f>(F7+G7)*D7</f>
        <v/>
      </c>
      <c r="I7" s="15">
        <f>H7*E7</f>
        <v/>
      </c>
    </row>
    <row r="8">
      <c r="A8" s="10" t="inlineStr">
        <is>
          <t>PoC · Extend · perf + Review Agent</t>
        </is>
      </c>
      <c r="B8" s="10" t="inlineStr">
        <is>
          <t>Extend PAYG</t>
        </is>
      </c>
      <c r="C8" s="10" t="inlineStr">
        <is>
          <t>Parse + Extract + HITL</t>
        </is>
      </c>
      <c r="D8" s="12">
        <f>Assumptions!B7</f>
        <v/>
      </c>
      <c r="E8" s="14">
        <f>Assumptions!B11*Assumptions!B12</f>
        <v/>
      </c>
      <c r="F8" s="11">
        <f>Assumptions!B38+Assumptions!B40</f>
        <v/>
      </c>
      <c r="G8" s="11">
        <f>Assumptions!B44</f>
        <v/>
      </c>
      <c r="H8" s="12">
        <f>(F8+G8)*D8</f>
        <v/>
      </c>
      <c r="I8" s="15">
        <f>H8*E8</f>
        <v/>
      </c>
    </row>
    <row r="10">
      <c r="A10" s="10" t="inlineStr">
        <is>
          <t>Prod · LlamaCloud · agentic</t>
        </is>
      </c>
      <c r="B10" s="10" t="inlineStr">
        <is>
          <t>LlamaCloud</t>
        </is>
      </c>
      <c r="C10" s="10" t="inlineStr">
        <is>
          <t>Agentic extract + Agentic parse</t>
        </is>
      </c>
      <c r="D10" s="12">
        <f>Assumptions!B6</f>
        <v/>
      </c>
      <c r="E10" s="14">
        <f>Assumptions!B13</f>
        <v/>
      </c>
      <c r="F10" s="11">
        <f>Assumptions!B29+Assumptions!B32</f>
        <v/>
      </c>
      <c r="G10" s="11" t="inlineStr">
        <is>
          <t>0</t>
        </is>
      </c>
      <c r="H10" s="12">
        <f>(F10+G10)*D10</f>
        <v/>
      </c>
      <c r="I10" s="15">
        <f>H10*E10</f>
        <v/>
      </c>
    </row>
    <row r="11">
      <c r="A11" s="10" t="inlineStr">
        <is>
          <t>Prod · Reducto · complex</t>
        </is>
      </c>
      <c r="B11" s="10" t="inlineStr">
        <is>
          <t>Reducto Standard</t>
        </is>
      </c>
      <c r="C11" s="10" t="inlineStr">
        <is>
          <t>Complex parse + extract</t>
        </is>
      </c>
      <c r="D11" s="12">
        <f>Assumptions!B5</f>
        <v/>
      </c>
      <c r="E11" s="14">
        <f>Assumptions!B13</f>
        <v/>
      </c>
      <c r="F11" s="11">
        <f>Assumptions!B18+Assumptions!B20</f>
        <v/>
      </c>
      <c r="G11" s="11" t="inlineStr">
        <is>
          <t>0</t>
        </is>
      </c>
      <c r="H11" s="12">
        <f>(F11+G11)*D11</f>
        <v/>
      </c>
      <c r="I11" s="15">
        <f>H11*E11</f>
        <v/>
      </c>
    </row>
    <row r="12">
      <c r="A12" s="10" t="inlineStr">
        <is>
          <t>Prod · Extend · perf + Review (Scale)</t>
        </is>
      </c>
      <c r="B12" s="10" t="inlineStr">
        <is>
          <t>Extend Scale</t>
        </is>
      </c>
      <c r="C12" s="10" t="inlineStr">
        <is>
          <t>Parse + Extract + HITL</t>
        </is>
      </c>
      <c r="D12" s="12">
        <f>Assumptions!B8</f>
        <v/>
      </c>
      <c r="E12" s="14">
        <f>Assumptions!B13</f>
        <v/>
      </c>
      <c r="F12" s="11">
        <f>Assumptions!B38+Assumptions!B40</f>
        <v/>
      </c>
      <c r="G12" s="11">
        <f>Assumptions!B44</f>
        <v/>
      </c>
      <c r="H12" s="12">
        <f>(F12+G12)*D12</f>
        <v/>
      </c>
      <c r="I12" s="15">
        <f>H12*E12</f>
        <v/>
      </c>
    </row>
    <row r="14">
      <c r="A14" s="2" t="inlineStr">
        <is>
          <t>Reducto Deep Extract — per-doc minimum mechanic</t>
        </is>
      </c>
    </row>
    <row r="15">
      <c r="A15" s="10" t="inlineStr">
        <is>
          <t>Pages per document</t>
        </is>
      </c>
      <c r="B15" s="14">
        <f>Assumptions!B11</f>
        <v/>
      </c>
    </row>
    <row r="16">
      <c r="A16" s="10" t="inlineStr">
        <is>
          <t>Fields per document</t>
        </is>
      </c>
      <c r="B16" s="14">
        <f>Assumptions!B14</f>
        <v/>
      </c>
    </row>
    <row r="17">
      <c r="A17" s="10" t="inlineStr">
        <is>
          <t>Number of documents</t>
        </is>
      </c>
      <c r="B17" s="14">
        <f>Assumptions!B12</f>
        <v/>
      </c>
    </row>
    <row r="18">
      <c r="A18" s="10" t="inlineStr">
        <is>
          <t>Raw credits/doc = 4×pages + 0.1×fields + 1×pages (parse)</t>
        </is>
      </c>
      <c r="B18" s="11">
        <f>Assumptions!B21*B15+Assumptions!B22*B16+Assumptions!B17*B15</f>
        <v/>
      </c>
    </row>
    <row r="19">
      <c r="A19" s="10" t="inlineStr">
        <is>
          <t>Billed credits/doc = MAX(raw, 30 floor)</t>
        </is>
      </c>
      <c r="B19" s="11">
        <f>MAX(B18,Assumptions!B23)</f>
        <v/>
      </c>
    </row>
    <row r="20">
      <c r="A20" s="10" t="inlineStr">
        <is>
          <t>$ per document = billed credits × $/credit</t>
        </is>
      </c>
      <c r="B20" s="15">
        <f>B19*Assumptions!B5</f>
        <v/>
      </c>
    </row>
    <row r="21">
      <c r="A21" s="10" t="inlineStr">
        <is>
          <t>Total $ (Deep Extract, all docs)</t>
        </is>
      </c>
      <c r="B21" s="15">
        <f>B20*B17</f>
        <v/>
      </c>
    </row>
    <row r="22">
      <c r="A22" s="3" t="inlineStr">
        <is>
          <t>Note: with 3 pages/12 fields, raw = 16.2 cr but the 30-credit floor binds → Deep Extract is expensive for short docs.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2026-07-22T07:07:41Z</dcterms:created>
  <dcterms:modified xmlns:dcterms="http://purl.org/dc/terms/" xmlns:xsi="http://www.w3.org/2001/XMLSchema-instance" xsi:type="dcterms:W3CDTF">2026-07-22T07:07:41Z</dcterms:modified>
</cp:coreProperties>
</file>